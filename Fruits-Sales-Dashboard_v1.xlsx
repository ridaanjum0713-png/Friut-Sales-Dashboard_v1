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<sst xmlns="http://schemas.openxmlformats.org/spreadsheetml/2006/main" count="26" uniqueCount="26">
  <si>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 xml:space="preserve"> Fruit Sales Performance Dashboard
</t>
  </si>
  <si>
    <t xml:space="preserve">Fruit sales : volume in (kg).     June vs July </t>
  </si>
  <si>
    <t>ID</t>
  </si>
  <si>
    <t>Fruits sales volume in (kg)</t>
  </si>
  <si>
    <t xml:space="preserve">June </t>
  </si>
  <si>
    <t xml:space="preserve">July </t>
  </si>
  <si>
    <t>MoM%</t>
  </si>
  <si>
    <t>Trend</t>
  </si>
  <si>
    <t>Mango</t>
  </si>
  <si>
    <t>Apple</t>
  </si>
  <si>
    <t xml:space="preserve">Banana </t>
  </si>
  <si>
    <t xml:space="preserve">Grapes </t>
  </si>
  <si>
    <t>Avocado</t>
  </si>
  <si>
    <t xml:space="preserve">Pineapple </t>
  </si>
  <si>
    <t>Guava</t>
  </si>
  <si>
    <t xml:space="preserve">Orange </t>
  </si>
  <si>
    <t xml:space="preserve">Watermelon </t>
  </si>
  <si>
    <t>Kiwi</t>
  </si>
  <si>
    <t>Total</t>
  </si>
  <si>
    <t xml:space="preserve">Average </t>
  </si>
  <si>
    <t xml:space="preserve">Overall Volume Change:  -25.58%  </t>
  </si>
  <si>
    <t>Observation: Mango sales decline by 60% due to reduced supply.</t>
  </si>
  <si>
    <t xml:space="preserve">Watermelon sales decline by 70.83 % due to seasonal effect </t>
  </si>
  <si>
    <t xml:space="preserve">Top Performer : Guava sales surged by 133.33%  , followed by Apple  at 88% </t>
  </si>
  <si>
    <t xml:space="preserve">Action Required : Reduce water melon and grape inventory by July to prevent spoilage </t>
  </si>
  <si>
    <t>Future Business Recommendations :"Introducing high-demand items, such as berries ,next month can significantly optimize sales and capture unmet market demand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</si>
</sst>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0">
    <font>
      <sz val="10.0"/>
      <color rgb="FF000000"/>
      <name val="Arial"/>
      <scheme val="minor"/>
    </font>
    <font>
      <b/>
      <sz val="24.0"/>
      <color rgb="FF45818E"/>
      <name val="Roboto Serif"/>
    </font>
    <font>
      <b/>
      <i/>
      <sz val="36.0"/>
      <color rgb="FF76A5AF"/>
      <name val="Lexend"/>
    </font>
    <font>
      <color rgb="FF76A5AF"/>
      <name val="Arial"/>
      <scheme val="minor"/>
    </font>
    <font>
      <b/>
      <u/>
      <sz val="11.0"/>
      <color rgb="FF073763"/>
      <name val="Arial"/>
      <scheme val="minor"/>
    </font>
    <font>
      <b/>
      <sz val="18.0"/>
      <color rgb="FF3C78D8"/>
      <name val="Merriweather"/>
    </font>
    <font>
      <color rgb="FF3C78D8"/>
      <name val="Arial"/>
      <scheme val="minor"/>
    </font>
    <font>
      <b/>
      <sz val="14.0"/>
      <color theme="1"/>
      <name val="Lora"/>
    </font>
    <font>
      <b/>
      <sz val="12.0"/>
      <color theme="1"/>
      <name val="Lora"/>
    </font>
    <font>
      <b/>
      <sz val="12.0"/>
      <color rgb="FF6D9EEB"/>
      <name val="Lora"/>
    </font>
    <font>
      <b/>
      <sz val="12.0"/>
      <color rgb="FF0B5394"/>
      <name val="Lora"/>
    </font>
    <font>
      <b/>
      <sz val="14.0"/>
      <color rgb="FF6AA84F"/>
      <name val="Lora"/>
    </font>
    <font>
      <color theme="1"/>
      <name val="Arial"/>
      <scheme val="minor"/>
    </font>
    <font>
      <sz val="14.0"/>
      <color theme="1"/>
      <name val="Lora"/>
    </font>
    <font>
      <color theme="1"/>
      <name val="Merriweather"/>
    </font>
    <font>
      <b/>
      <color theme="1"/>
      <name val="Lora"/>
    </font>
    <font>
      <b/>
      <color theme="1"/>
      <name val="Arial"/>
      <scheme val="minor"/>
    </font>
    <font>
      <b/>
      <color rgb="FF00FF00"/>
      <name val="Arial"/>
      <scheme val="minor"/>
    </font>
    <font>
      <b/>
      <color rgb="FFFF0000"/>
      <name val="Arial"/>
      <scheme val="minor"/>
    </font>
    <font>
      <b/>
      <sz val="11.0"/>
      <color theme="1"/>
      <name val="Lora"/>
    </font>
    <font>
      <sz val="11.0"/>
      <color theme="1"/>
      <name val="Lora"/>
    </font>
    <font>
      <b/>
      <sz val="11.0"/>
      <color rgb="FF073763"/>
      <name val="Arial"/>
      <scheme val="minor"/>
    </font>
    <font>
      <b/>
      <sz val="11.0"/>
      <color rgb="FF38761D"/>
      <name val="Arial"/>
      <scheme val="minor"/>
    </font>
    <font>
      <sz val="11.0"/>
      <color theme="1"/>
      <name val="Arial"/>
      <scheme val="minor"/>
    </font>
    <font>
      <b/>
      <sz val="11.0"/>
      <color rgb="FF20124D"/>
      <name val="Arial"/>
      <scheme val="minor"/>
    </font>
    <font>
      <b/>
      <sz val="11.0"/>
      <color rgb="FF274E13"/>
      <name val="Arial"/>
      <scheme val="minor"/>
    </font>
    <font>
      <sz val="24.0"/>
      <color rgb="FF38761D"/>
      <name val="EB Garamond"/>
    </font>
    <font>
      <b/>
      <sz val="11.0"/>
      <color rgb="FF660000"/>
      <name val="Arial"/>
      <scheme val="minor"/>
    </font>
    <font>
      <b/>
      <color rgb="FF134F5C"/>
      <name val="Arial"/>
      <scheme val="minor"/>
    </font>
    <font>
      <color rgb="FF434343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6" numFmtId="0" xfId="0" applyFont="1"/>
    <xf borderId="0" fillId="0" fontId="7" numFmtId="0" xfId="0" applyAlignment="1" applyFont="1">
      <alignment readingOrder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1" fillId="0" fontId="14" numFmtId="0" xfId="0" applyAlignment="1" applyBorder="1" applyFont="1">
      <alignment readingOrder="0"/>
    </xf>
    <xf borderId="1" fillId="0" fontId="14" numFmtId="3" xfId="0" applyAlignment="1" applyBorder="1" applyFont="1" applyNumberFormat="1">
      <alignment readingOrder="0"/>
    </xf>
    <xf borderId="1" fillId="0" fontId="15" numFmtId="9" xfId="0" applyBorder="1" applyFont="1" applyNumberFormat="1"/>
    <xf borderId="1" fillId="0" fontId="16" numFmtId="0" xfId="0" applyBorder="1" applyFont="1"/>
    <xf borderId="0" fillId="0" fontId="13" numFmtId="3" xfId="0" applyFont="1" applyNumberFormat="1"/>
    <xf borderId="0" fillId="0" fontId="17" numFmtId="0" xfId="0" applyFont="1"/>
    <xf borderId="0" fillId="0" fontId="18" numFmtId="0" xfId="0" applyFont="1"/>
    <xf borderId="1" fillId="0" fontId="15" numFmtId="164" xfId="0" applyBorder="1" applyFont="1" applyNumberFormat="1"/>
    <xf borderId="1" fillId="0" fontId="15" numFmtId="10" xfId="0" applyBorder="1" applyFont="1" applyNumberFormat="1"/>
    <xf borderId="0" fillId="0" fontId="16" numFmtId="0" xfId="0" applyFont="1"/>
    <xf borderId="1" fillId="0" fontId="19" numFmtId="0" xfId="0" applyAlignment="1" applyBorder="1" applyFont="1">
      <alignment readingOrder="0"/>
    </xf>
    <xf borderId="1" fillId="0" fontId="20" numFmtId="0" xfId="0" applyAlignment="1" applyBorder="1" applyFont="1">
      <alignment readingOrder="0"/>
    </xf>
    <xf borderId="1" fillId="0" fontId="19" numFmtId="3" xfId="0" applyAlignment="1" applyBorder="1" applyFont="1" applyNumberFormat="1">
      <alignment readingOrder="0"/>
    </xf>
    <xf borderId="1" fillId="0" fontId="19" numFmtId="3" xfId="0" applyBorder="1" applyFont="1" applyNumberFormat="1"/>
    <xf borderId="1" fillId="0" fontId="20" numFmtId="0" xfId="0" applyBorder="1" applyFont="1"/>
    <xf borderId="1" fillId="0" fontId="19" numFmtId="0" xfId="0" applyBorder="1" applyFont="1"/>
    <xf borderId="1" fillId="0" fontId="7" numFmtId="0" xfId="0" applyBorder="1" applyFont="1"/>
    <xf borderId="0" fillId="0" fontId="13" numFmtId="0" xfId="0" applyFont="1"/>
    <xf borderId="1" fillId="0" fontId="16" numFmtId="4" xfId="0" applyAlignment="1" applyBorder="1" applyFont="1" applyNumberFormat="1">
      <alignment shrinkToFit="0" wrapText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2" numFmtId="0" xfId="0" applyFont="1"/>
    <xf borderId="0" fillId="0" fontId="23" numFmtId="0" xfId="0" applyFont="1"/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6" numFmtId="0" xfId="0" applyFont="1"/>
    <xf borderId="0" fillId="0" fontId="16" numFmtId="0" xfId="0" applyAlignment="1" applyFont="1">
      <alignment readingOrder="0"/>
    </xf>
    <xf borderId="0" fillId="0" fontId="29" numFmtId="0" xfId="0" applyFont="1"/>
    <xf borderId="0" fillId="0" fontId="12" numFmtId="9" xfId="0" applyFont="1" applyNumberFormat="1"/>
  </cellXfs>
  <cellStyles count="1">
    <cellStyle xfId="0" name="Normal" builtinId="0"/>
  </cellStyles>
  <dxfs count="3">
    <dxf>
      <font>
        <color rgb="FF0B8043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June  and July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Sheet1!$E$42</c:f>
            </c:strRef>
          </c:tx>
          <c:spPr>
            <a:solidFill>
              <a:srgbClr val="9FC5E8"/>
            </a:solidFill>
            <a:ln cmpd="sng">
              <a:noFill/>
            </a:ln>
          </c:spPr>
          <c:cat>
            <c:strRef>
              <c:f>Sheet1!$D$43:$D$52</c:f>
            </c:strRef>
          </c:cat>
          <c:val>
            <c:numRef>
              <c:f>Sheet1!$E$43:$E$52</c:f>
              <c:numCache/>
            </c:numRef>
          </c:val>
        </c:ser>
        <c:ser>
          <c:idx val="1"/>
          <c:order val="1"/>
          <c:tx>
            <c:strRef>
              <c:f>Sheet1!$F$42</c:f>
            </c:strRef>
          </c:tx>
          <c:spPr>
            <a:solidFill>
              <a:srgbClr val="0B5394"/>
            </a:solidFill>
            <a:ln cmpd="sng">
              <a:noFill/>
            </a:ln>
          </c:spPr>
          <c:cat>
            <c:strRef>
              <c:f>Sheet1!$D$43:$D$52</c:f>
            </c:strRef>
          </c:cat>
          <c:val>
            <c:numRef>
              <c:f>Sheet1!$F$43:$F$52</c:f>
              <c:numCache/>
            </c:numRef>
          </c:val>
        </c:ser>
        <c:axId val="1275015232"/>
        <c:axId val="1949731586"/>
      </c:barChart>
      <c:catAx>
        <c:axId val="1275015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Fruits sales volume in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731586"/>
      </c:catAx>
      <c:valAx>
        <c:axId val="1949731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50152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11</xdr:row>
      <xdr:rowOff>57150</xdr:rowOff>
    </xdr:from>
    <xdr:ext cx="4848225" cy="5153025"/>
    <xdr:graphicFrame>
      <xdr:nvGraphicFramePr>
        <xdr:cNvPr id="1" name="Chart 1" title="June  and July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.5"/>
  </cols>
  <sheetData>
    <row r="9" ht="33.0" customHeight="1">
      <c r="B9" s="1" t="s">
        <v>0</v>
      </c>
    </row>
    <row r="22">
      <c r="A22" s="2"/>
      <c r="B22" s="2"/>
      <c r="C22" s="2"/>
      <c r="D22" s="3"/>
      <c r="E22" s="4"/>
      <c r="F22" s="4"/>
      <c r="G22" s="4"/>
      <c r="H22" s="4"/>
      <c r="I22" s="4"/>
      <c r="J22" s="4"/>
      <c r="K22" s="4"/>
    </row>
    <row r="40">
      <c r="C40" s="5" t="s">
        <v>1</v>
      </c>
      <c r="E40" s="6"/>
      <c r="F40" s="7"/>
      <c r="G40" s="8"/>
      <c r="H40" s="8"/>
    </row>
    <row r="42">
      <c r="A42" s="9"/>
      <c r="B42" s="10"/>
      <c r="C42" s="10" t="s">
        <v>2</v>
      </c>
      <c r="D42" s="10" t="s">
        <v>3</v>
      </c>
      <c r="E42" s="11" t="s">
        <v>4</v>
      </c>
      <c r="F42" s="12" t="s">
        <v>5</v>
      </c>
      <c r="G42" s="10" t="s">
        <v>6</v>
      </c>
      <c r="H42" s="10" t="s">
        <v>7</v>
      </c>
      <c r="J42" s="13"/>
      <c r="K42" s="14"/>
      <c r="L42" s="14"/>
      <c r="M42" s="14"/>
    </row>
    <row r="43">
      <c r="A43" s="15"/>
      <c r="B43" s="16"/>
      <c r="C43" s="16">
        <v>1.0</v>
      </c>
      <c r="D43" s="16" t="s">
        <v>8</v>
      </c>
      <c r="E43" s="17">
        <v>15000.0</v>
      </c>
      <c r="F43" s="17">
        <v>6000.0</v>
      </c>
      <c r="G43" s="18">
        <f t="shared" ref="G43:G53" si="1">(F43-E43)/E43</f>
        <v>-0.6</v>
      </c>
      <c r="H43" s="19" t="str">
        <f t="shared" ref="H43:H53" si="2">if(G43&gt;0,"Up","Down")</f>
        <v>Down</v>
      </c>
      <c r="J43" s="20"/>
      <c r="K43" s="21"/>
      <c r="L43" s="21"/>
    </row>
    <row r="44">
      <c r="A44" s="15"/>
      <c r="B44" s="16"/>
      <c r="C44" s="16">
        <v>2.0</v>
      </c>
      <c r="D44" s="16" t="s">
        <v>9</v>
      </c>
      <c r="E44" s="17">
        <v>4000.0</v>
      </c>
      <c r="F44" s="17">
        <v>7500.0</v>
      </c>
      <c r="G44" s="18">
        <f t="shared" si="1"/>
        <v>0.875</v>
      </c>
      <c r="H44" s="19" t="str">
        <f t="shared" si="2"/>
        <v>Up</v>
      </c>
      <c r="J44" s="20"/>
      <c r="K44" s="22"/>
      <c r="L44" s="22"/>
    </row>
    <row r="45">
      <c r="A45" s="15"/>
      <c r="B45" s="16"/>
      <c r="C45" s="16">
        <v>3.0</v>
      </c>
      <c r="D45" s="16" t="s">
        <v>10</v>
      </c>
      <c r="E45" s="17">
        <v>8000.0</v>
      </c>
      <c r="F45" s="17">
        <v>8500.0</v>
      </c>
      <c r="G45" s="23">
        <f t="shared" si="1"/>
        <v>0.0625</v>
      </c>
      <c r="H45" s="19" t="str">
        <f t="shared" si="2"/>
        <v>Up</v>
      </c>
      <c r="J45" s="20"/>
      <c r="K45" s="21"/>
      <c r="L45" s="21"/>
    </row>
    <row r="46">
      <c r="A46" s="15"/>
      <c r="B46" s="16"/>
      <c r="C46" s="16">
        <v>4.0</v>
      </c>
      <c r="D46" s="16" t="s">
        <v>11</v>
      </c>
      <c r="E46" s="17">
        <v>2500.0</v>
      </c>
      <c r="F46" s="17">
        <v>500.0</v>
      </c>
      <c r="G46" s="24">
        <f t="shared" si="1"/>
        <v>-0.8</v>
      </c>
      <c r="H46" s="19" t="str">
        <f t="shared" si="2"/>
        <v>Down</v>
      </c>
      <c r="J46" s="20"/>
      <c r="K46" s="22"/>
      <c r="L46" s="22"/>
    </row>
    <row r="47">
      <c r="A47" s="15"/>
      <c r="B47" s="16"/>
      <c r="C47" s="16">
        <v>5.0</v>
      </c>
      <c r="D47" s="16" t="s">
        <v>12</v>
      </c>
      <c r="E47" s="17">
        <v>400.0</v>
      </c>
      <c r="F47" s="17">
        <v>600.0</v>
      </c>
      <c r="G47" s="24">
        <f t="shared" si="1"/>
        <v>0.5</v>
      </c>
      <c r="H47" s="19" t="str">
        <f t="shared" si="2"/>
        <v>Up</v>
      </c>
      <c r="J47" s="20"/>
      <c r="K47" s="21"/>
      <c r="L47" s="25"/>
    </row>
    <row r="48">
      <c r="A48" s="15"/>
      <c r="B48" s="16"/>
      <c r="C48" s="16">
        <v>6.0</v>
      </c>
      <c r="D48" s="16" t="s">
        <v>13</v>
      </c>
      <c r="E48" s="17">
        <v>3000.0</v>
      </c>
      <c r="F48" s="17">
        <v>3500.0</v>
      </c>
      <c r="G48" s="24">
        <f t="shared" si="1"/>
        <v>0.1666666667</v>
      </c>
      <c r="H48" s="19" t="str">
        <f t="shared" si="2"/>
        <v>Up</v>
      </c>
      <c r="J48" s="20"/>
      <c r="K48" s="21"/>
      <c r="L48" s="25"/>
    </row>
    <row r="49">
      <c r="A49" s="15"/>
      <c r="B49" s="16"/>
      <c r="C49" s="16">
        <v>7.0</v>
      </c>
      <c r="D49" s="16" t="s">
        <v>14</v>
      </c>
      <c r="E49" s="17">
        <v>1200.0</v>
      </c>
      <c r="F49" s="17">
        <v>2800.0</v>
      </c>
      <c r="G49" s="24">
        <f t="shared" si="1"/>
        <v>1.333333333</v>
      </c>
      <c r="H49" s="19" t="str">
        <f t="shared" si="2"/>
        <v>Up</v>
      </c>
      <c r="J49" s="20"/>
      <c r="K49" s="21"/>
      <c r="L49" s="25"/>
    </row>
    <row r="50">
      <c r="A50" s="15"/>
      <c r="B50" s="16"/>
      <c r="C50" s="16">
        <v>8.0</v>
      </c>
      <c r="D50" s="16" t="s">
        <v>15</v>
      </c>
      <c r="E50" s="17">
        <v>800.0</v>
      </c>
      <c r="F50" s="17">
        <v>500.0</v>
      </c>
      <c r="G50" s="24">
        <f t="shared" si="1"/>
        <v>-0.375</v>
      </c>
      <c r="H50" s="19" t="str">
        <f t="shared" si="2"/>
        <v>Down</v>
      </c>
      <c r="J50" s="20"/>
      <c r="K50" s="21"/>
      <c r="L50" s="25"/>
    </row>
    <row r="51">
      <c r="A51" s="15"/>
      <c r="B51" s="16"/>
      <c r="C51" s="16">
        <v>9.0</v>
      </c>
      <c r="D51" s="16" t="s">
        <v>16</v>
      </c>
      <c r="E51" s="17">
        <v>12000.0</v>
      </c>
      <c r="F51" s="17">
        <v>3500.0</v>
      </c>
      <c r="G51" s="24">
        <f t="shared" si="1"/>
        <v>-0.7083333333</v>
      </c>
      <c r="H51" s="19" t="str">
        <f t="shared" si="2"/>
        <v>Down</v>
      </c>
      <c r="J51" s="20"/>
      <c r="K51" s="21"/>
      <c r="L51" s="25"/>
    </row>
    <row r="52">
      <c r="A52" s="15"/>
      <c r="B52" s="16"/>
      <c r="C52" s="16">
        <v>10.0</v>
      </c>
      <c r="D52" s="16" t="s">
        <v>17</v>
      </c>
      <c r="E52" s="17">
        <v>1500.0</v>
      </c>
      <c r="F52" s="17">
        <v>1650.0</v>
      </c>
      <c r="G52" s="24">
        <f t="shared" si="1"/>
        <v>0.1</v>
      </c>
      <c r="H52" s="19" t="str">
        <f t="shared" si="2"/>
        <v>Up</v>
      </c>
      <c r="J52" s="20"/>
      <c r="K52" s="21"/>
      <c r="L52" s="25"/>
    </row>
    <row r="53">
      <c r="A53" s="9"/>
      <c r="B53" s="26" t="s">
        <v>18</v>
      </c>
      <c r="C53" s="27"/>
      <c r="D53" s="27"/>
      <c r="E53" s="28">
        <f t="shared" ref="E53:F53" si="3">sum(E43:E52)</f>
        <v>48400</v>
      </c>
      <c r="F53" s="29">
        <f t="shared" si="3"/>
        <v>35050</v>
      </c>
      <c r="G53" s="24">
        <f t="shared" si="1"/>
        <v>-0.2758264463</v>
      </c>
      <c r="H53" s="19" t="str">
        <f t="shared" si="2"/>
        <v>Down</v>
      </c>
      <c r="J53" s="20"/>
      <c r="K53" s="21"/>
      <c r="L53" s="25"/>
    </row>
    <row r="54">
      <c r="A54" s="15"/>
      <c r="B54" s="27"/>
      <c r="C54" s="27"/>
      <c r="D54" s="30"/>
      <c r="E54" s="31"/>
      <c r="F54" s="31"/>
      <c r="G54" s="32"/>
      <c r="H54" s="32"/>
      <c r="J54" s="33"/>
      <c r="K54" s="21"/>
      <c r="L54" s="25"/>
    </row>
    <row r="55">
      <c r="A55" s="9"/>
      <c r="B55" s="26" t="s">
        <v>19</v>
      </c>
      <c r="C55" s="30"/>
      <c r="D55" s="27"/>
      <c r="E55" s="28">
        <f>AVERAGE(E43:E52)</f>
        <v>4840</v>
      </c>
      <c r="F55" s="29">
        <f>Average(F43:F52)</f>
        <v>3505</v>
      </c>
      <c r="G55" s="34"/>
      <c r="H55" s="32"/>
      <c r="J55" s="33"/>
      <c r="K55" s="21"/>
      <c r="L55" s="21"/>
    </row>
    <row r="56">
      <c r="H56" s="25"/>
      <c r="I56" s="25"/>
      <c r="J56" s="25"/>
      <c r="K56" s="25"/>
      <c r="L56" s="25"/>
    </row>
    <row r="57">
      <c r="H57" s="25"/>
      <c r="I57" s="25"/>
      <c r="J57" s="14"/>
      <c r="K57" s="14"/>
      <c r="L57" s="14"/>
    </row>
    <row r="59">
      <c r="H59" s="14"/>
      <c r="I59" s="14"/>
      <c r="J59" s="14"/>
      <c r="K59" s="14"/>
      <c r="L59" s="14"/>
    </row>
    <row r="61">
      <c r="B61" s="35" t="s">
        <v>20</v>
      </c>
      <c r="C61" s="36"/>
      <c r="D61" s="37"/>
      <c r="E61" s="37"/>
      <c r="F61" s="36"/>
      <c r="G61" s="38"/>
      <c r="H61" s="38"/>
      <c r="I61" s="38"/>
    </row>
    <row r="62">
      <c r="B62" s="39" t="s">
        <v>21</v>
      </c>
      <c r="C62" s="36"/>
      <c r="D62" s="37"/>
      <c r="E62" s="37"/>
      <c r="F62" s="36"/>
      <c r="G62" s="38"/>
      <c r="H62" s="38"/>
      <c r="I62" s="38"/>
    </row>
    <row r="63">
      <c r="B63" s="35"/>
      <c r="C63" s="39" t="s">
        <v>22</v>
      </c>
      <c r="D63" s="37"/>
      <c r="E63" s="37"/>
      <c r="F63" s="36"/>
      <c r="G63" s="38"/>
      <c r="H63" s="38"/>
      <c r="I63" s="38"/>
    </row>
    <row r="64">
      <c r="B64" s="40" t="s">
        <v>23</v>
      </c>
      <c r="C64" s="36"/>
      <c r="D64" s="36"/>
      <c r="E64" s="37"/>
      <c r="F64" s="37"/>
      <c r="G64" s="38"/>
      <c r="H64" s="38"/>
      <c r="I64" s="38"/>
    </row>
    <row r="65">
      <c r="A65" s="41"/>
      <c r="B65" s="42" t="s">
        <v>24</v>
      </c>
      <c r="C65" s="36"/>
      <c r="D65" s="36"/>
      <c r="E65" s="37"/>
      <c r="F65" s="37"/>
      <c r="G65" s="38"/>
      <c r="H65" s="38"/>
      <c r="I65" s="38"/>
    </row>
    <row r="66">
      <c r="A66" s="41"/>
      <c r="B66" s="43" t="s">
        <v>25</v>
      </c>
    </row>
    <row r="67">
      <c r="A67" s="41"/>
    </row>
    <row r="68">
      <c r="A68" s="44"/>
      <c r="C68" s="44"/>
      <c r="D68" s="44"/>
      <c r="E68" s="44"/>
      <c r="F68" s="44"/>
      <c r="G68" s="44"/>
      <c r="H68" s="44"/>
    </row>
    <row r="72">
      <c r="E72" s="41"/>
    </row>
    <row r="73">
      <c r="E73" s="41"/>
    </row>
    <row r="74">
      <c r="E74" s="41"/>
    </row>
    <row r="75">
      <c r="E75" s="44"/>
    </row>
    <row r="91">
      <c r="A91" s="45"/>
      <c r="B91" s="45"/>
      <c r="C91" s="45"/>
      <c r="D91" s="45"/>
      <c r="E91" s="45"/>
      <c r="F91" s="45"/>
      <c r="H91" s="45"/>
      <c r="I91" s="45"/>
    </row>
    <row r="92">
      <c r="A92" s="14"/>
      <c r="B92" s="14"/>
    </row>
    <row r="93">
      <c r="A93" s="14"/>
      <c r="B93" s="14"/>
    </row>
    <row r="94">
      <c r="A94" s="14"/>
      <c r="B94" s="14"/>
    </row>
    <row r="95">
      <c r="A95" s="14"/>
      <c r="B95" s="14"/>
      <c r="J95" s="46"/>
    </row>
    <row r="100">
      <c r="M100" s="47">
        <f>MAX(G43:G55)</f>
        <v>1.333333333</v>
      </c>
    </row>
  </sheetData>
  <conditionalFormatting sqref="I57">
    <cfRule type="notContainsBlanks" dxfId="0" priority="1">
      <formula>LEN(TRIM(I57))&gt;0</formula>
    </cfRule>
  </conditionalFormatting>
  <conditionalFormatting sqref="G43:G53">
    <cfRule type="cellIs" dxfId="1" priority="2" operator="greaterThan">
      <formula>0</formula>
    </cfRule>
  </conditionalFormatting>
  <conditionalFormatting sqref="G43:G53">
    <cfRule type="cellIs" dxfId="2" priority="3" operator="lessThan">
      <formula>0</formula>
    </cfRule>
  </conditionalFormatting>
  <conditionalFormatting sqref="G43:G53">
    <cfRule type="notContainsBlanks" dxfId="1" priority="4">
      <formula>LEN(TRIM(G43))&gt;0</formula>
    </cfRule>
  </conditionalFormatting>
  <conditionalFormatting sqref="H43:H53">
    <cfRule type="containsText" dxfId="1" priority="5" operator="containsText" text="up">
      <formula>NOT(ISERROR(SEARCH(("up"),(H43))))</formula>
    </cfRule>
  </conditionalFormatting>
  <conditionalFormatting sqref="H43:H53">
    <cfRule type="containsText" dxfId="2" priority="6" operator="containsText" text="down">
      <formula>NOT(ISERROR(SEARCH(("down"),(H43))))</formula>
    </cfRule>
  </conditionalFormatting>
  <drawing r:id="rId1"/>
</worksheet>
</file>